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c8c17260b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a41aa09b45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Border="1" applyAlignment="1">
      <x:alignment horizontal="center" vertical="top"/>
    </x:xf>
    <x:xf numFmtId="0" fontId="0" fillId="0" borderId="0" xfId="0" applyAlignment="1">
      <x:alignment vertical="top"/>
    </x:xf>
    <x:xf numFmtId="0" fontId="0" fillId="0" borderId="1" xfId="0" applyBorder="1" applyAlignment="1">
      <x:alignment vertical="top"/>
    </x:xf>
    <x:xf numFmtId="0" fontId="0" fillId="0" borderId="3" xfId="0" applyBorder="1" applyAlignment="1">
      <x:alignment horizontal="center" vertical="top"/>
    </x:xf>
    <x:xf numFmtId="0" fontId="0" fillId="0" borderId="3" xfId="0" applyBorder="1" applyAlignment="1">
      <x:alignment vertical="top"/>
    </x:xf>
    <x:xf numFmtId="0" fontId="1" fillId="2" borderId="2" xfId="0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borderId="2" xfId="0" applyNumberFormat="1" applyFont="1" applyFill="0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borderId="4" xfId="0" applyNumberFormat="1" applyFont="1" applyFill="0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3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43cd27c214432" /><Relationship Type="http://schemas.openxmlformats.org/officeDocument/2006/relationships/theme" Target="/xl/theme/theme1.xml" Id="Rc2c97498ceb34dd1" /><Relationship Type="http://schemas.openxmlformats.org/officeDocument/2006/relationships/sharedStrings" Target="/xl/sharedStrings.xml" Id="R2591ca153bcb43f3" /><Relationship Type="http://schemas.openxmlformats.org/officeDocument/2006/relationships/worksheet" Target="/xl/worksheets/sheet1.xml" Id="R48a41aa09b45452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7.78000020980835" style="2" hidden="0" customWidth="1"/>
    <x:col min="2" max="2" width="17.780000686645508" style="2" hidden="0" customWidth="1"/>
    <x:col min="3" max="3" width="24.440000534057617" style="2" hidden="0" customWidth="1"/>
    <x:col min="4" max="4" width="37.779998779296875" style="2" hidden="0" customWidth="1"/>
    <x:col min="5" max="5" width="10" style="2" hidden="0" customWidth="1"/>
    <x:col min="6" max="6" width="37.779998779296875" style="2" hidden="0" customWidth="1"/>
    <x:col min="7" max="7" width="8.890000343322754" style="2" hidden="0" customWidth="1"/>
    <x:col min="8" max="8" width="33.33000183105469" style="2" hidden="0" customWidth="1"/>
    <x:col min="9" max="9" width="10" style="2" hidden="0" customWidth="1"/>
    <x:col min="10" max="10" width="12.220000267028809" style="2" hidden="0" customWidth="1"/>
    <x:col min="11" max="11" width="28.889999389648438" style="2" hidden="0" customWidth="1"/>
    <x:col min="12" max="16384" width="9.06640625" style="2" customWidth="0"/>
  </x:cols>
  <x:sheetData>
    <x:row r="1" ht="31.5" customHeight="1">
      <x:c r="A1" s="13" t="str">
        <x:v>Risk number</x:v>
      </x:c>
      <x:c r="B1" s="13" t="str">
        <x:v>Risk Assigned to (Name of the Group member)</x:v>
      </x:c>
      <x:c r="C1" s="13" t="str">
        <x:v>Risk title</x:v>
      </x:c>
      <x:c r="D1" s="13" t="str">
        <x:v>Risk description</x:v>
      </x:c>
      <x:c r="E1" s="13" t="str">
        <x:v>Likelihood Score</x:v>
      </x:c>
      <x:c r="F1" s="13" t="str">
        <x:v>Likelihood Score justification</x:v>
      </x:c>
      <x:c r="G1" s="13" t="str">
        <x:v>Impact Score</x:v>
      </x:c>
      <x:c r="H1" s="13" t="str">
        <x:v>Impact Score justification</x:v>
      </x:c>
      <x:c r="I1" s="13" t="str">
        <x:v>Risk value</x:v>
      </x:c>
      <x:c r="J1" s="13" t="str">
        <x:v>Risk Score/rank (impact * Likelihood)</x:v>
      </x:c>
      <x:c r="K1" s="13" t="str">
        <x:v>General Notes / Review comments</x:v>
      </x:c>
    </x:row>
    <x:row r="2" ht="72" customHeight="1">
      <x:c r="A2" s="14" t="n">
        <x:v>1</x:v>
      </x:c>
      <x:c r="B2" s="14" t="str">
        <x:v>Zixuan Liang</x:v>
      </x:c>
      <x:c r="C2" s="15" t="str">
        <x:v>Unsafe radiation overdose from software-controlled mode mismatch</x:v>
      </x:c>
      <x:c r="D2" s="15" t="str">
        <x:v>Therac-25 could deliver a high-energy beam in an unsafe configuration when software state and physical machine setup diverged, exposing a patient to a catastrophic overdose.</x:v>
      </x:c>
      <x:c r="E2" s="14" t="n">
        <x:v>5</x:v>
      </x:c>
      <x:c r="F2" s="15" t="str">
        <x:v>The condition occurred repeatedly across installed machines once the rapid-edit sequence was reproduced; the design relied heavily on software with insufficient independent verification.</x:v>
      </x:c>
      <x:c r="G2" s="14" t="n">
        <x:v>5</x:v>
      </x:c>
      <x:c r="H2" s="15" t="str">
        <x:v>Patient consequence could be death or severe radiation injury, making the impact maximal.</x:v>
      </x:c>
      <x:c r="I2" s="14" t="str">
        <x:f>E2&amp;"x"&amp;G2</x:f>
        <x:v>5x5</x:v>
      </x:c>
      <x:c r="J2" s="14" t="n">
        <x:f>E2*G2</x:f>
        <x:v>25</x:v>
      </x:c>
      <x:c r="K2" s="15" t="str">
        <x:v>Top risk because it directly connects software failure to patient harm.</x:v>
      </x:c>
    </x:row>
    <x:row r="3" ht="72" customHeight="1">
      <x:c r="A3" s="14" t="n">
        <x:v>2</x:v>
      </x:c>
      <x:c r="B3" s="14" t="str">
        <x:v>Zixuan Liang</x:v>
      </x:c>
      <x:c r="C3" s="15" t="str">
        <x:v>Removal or absence of independent hardware interlocks</x:v>
      </x:c>
      <x:c r="D3" s="15" t="str">
        <x:v>Therac-25 depended more on software than predecessor machines and did not duplicate all prior hardware safety mechanisms that could block unsafe beam delivery.</x:v>
      </x:c>
      <x:c r="E3" s="14" t="n">
        <x:v>4</x:v>
      </x:c>
      <x:c r="F3" s="15" t="str">
        <x:v>The architectural decision affected the product line by design rather than being a rare field defect.</x:v>
      </x:c>
      <x:c r="G3" s="14" t="n">
        <x:v>5</x:v>
      </x:c>
      <x:c r="H3" s="15" t="str">
        <x:v>Without independent barriers, one software defect can become a fatal treatment event.</x:v>
      </x:c>
      <x:c r="I3" s="14" t="str">
        <x:f>E3&amp;"x"&amp;G3</x:f>
        <x:v>4x5</x:v>
      </x:c>
      <x:c r="J3" s="14" t="n">
        <x:f>E3*G3</x:f>
        <x:v>20</x:v>
      </x:c>
      <x:c r="K3" s="15" t="str">
        <x:v>Architectural safety risk; mitigation requires defense in depth.</x:v>
      </x:c>
    </x:row>
    <x:row r="4" ht="72" customHeight="1">
      <x:c r="A4" s="14" t="n">
        <x:v>3</x:v>
      </x:c>
      <x:c r="B4" s="14" t="str">
        <x:v>Zixuan Liang</x:v>
      </x:c>
      <x:c r="C4" s="15" t="str">
        <x:v>Inadequate software testing and hazard analysis</x:v>
      </x:c>
      <x:c r="D4" s="15" t="str">
        <x:v>Software risk analysis apparently excluded software design faults, and evidence suggests testing relied heavily on system use rather than rigorous unit, concurrency, stress, and hazard-driven tests.</x:v>
      </x:c>
      <x:c r="E4" s="14" t="n">
        <x:v>4</x:v>
      </x:c>
      <x:c r="F4" s="15" t="str">
        <x:v>The process weaknesses were systemic and existed before deployment.</x:v>
      </x:c>
      <x:c r="G4" s="14" t="n">
        <x:v>5</x:v>
      </x:c>
      <x:c r="H4" s="15" t="str">
        <x:v>Unfound defects in safety-critical control software can lead directly to injury or death.</x:v>
      </x:c>
      <x:c r="I4" s="14" t="str">
        <x:f>E4&amp;"x"&amp;G4</x:f>
        <x:v>4x5</x:v>
      </x:c>
      <x:c r="J4" s="14" t="n">
        <x:f>E4*G4</x:f>
        <x:v>20</x:v>
      </x:c>
      <x:c r="K4" s="15" t="str">
        <x:v>Process risk that enabled multiple technical failures to escape.</x:v>
      </x:c>
    </x:row>
    <x:row r="5" ht="72" customHeight="1">
      <x:c r="A5" s="14" t="n">
        <x:v>4</x:v>
      </x:c>
      <x:c r="B5" s="14" t="str">
        <x:v>Zixuan Liang</x:v>
      </x:c>
      <x:c r="C5" s="15" t="str">
        <x:v>Cryptic operator feedback and unsafe recovery behavior</x:v>
      </x:c>
      <x:c r="D5" s="15" t="str">
        <x:v>Messages such as Malfunction 54 did not clearly communicate overdose danger, and the system allowed treatment to be resumed after severe malfunctions.</x:v>
      </x:c>
      <x:c r="E5" s="14" t="n">
        <x:v>4</x:v>
      </x:c>
      <x:c r="F5" s="15" t="str">
        <x:v>Operators saw frequent malfunctions and could normalize alarms; unclear messages were part of routine operation.</x:v>
      </x:c>
      <x:c r="G5" s="14" t="n">
        <x:v>4</x:v>
      </x:c>
      <x:c r="H5" s="15" t="str">
        <x:v>Poor feedback can cause operators to continue unsafe treatment and delay escalation.</x:v>
      </x:c>
      <x:c r="I5" s="14" t="str">
        <x:f>E5&amp;"x"&amp;G5</x:f>
        <x:v>4x4</x:v>
      </x:c>
      <x:c r="J5" s="14" t="n">
        <x:f>E5*G5</x:f>
        <x:v>16</x:v>
      </x:c>
      <x:c r="K5" s="15" t="str">
        <x:v>Human factors risk; interface clarity is part of safety.</x:v>
      </x:c>
    </x:row>
    <x:row r="6" ht="72" customHeight="1">
      <x:c r="A6" s="14" t="n">
        <x:v>5</x:v>
      </x:c>
      <x:c r="B6" s="14" t="str">
        <x:v>Zixuan Liang</x:v>
      </x:c>
      <x:c r="C6" s="15" t="str">
        <x:v>Weak incident reporting, audit trails, and corrective action</x:v>
      </x:c>
      <x:c r="D6" s="15" t="str">
        <x:v>Early accidents were not immediately connected, and the system lacked sufficient logs and transparent reporting channels to reconstruct faults and warn all users quickly.</x:v>
      </x:c>
      <x:c r="E6" s="14" t="n">
        <x:v>3</x:v>
      </x:c>
      <x:c r="F6" s="15" t="str">
        <x:v>Major incidents are less frequent than daily operation failures, but organizational response weaknesses appeared repeatedly.</x:v>
      </x:c>
      <x:c r="G6" s="14" t="n">
        <x:v>5</x:v>
      </x:c>
      <x:c r="H6" s="15" t="str">
        <x:v>Delayed recognition can expose additional patients to the same hazard across multiple sites.</x:v>
      </x:c>
      <x:c r="I6" s="14" t="str">
        <x:f>E6&amp;"x"&amp;G6</x:f>
        <x:v>3x5</x:v>
      </x:c>
      <x:c r="J6" s="14" t="n">
        <x:f>E6*G6</x:f>
        <x:v>15</x:v>
      </x:c>
      <x:c r="K6" s="15" t="str">
        <x:v>Lifecycle SQA risk; fixes must include reporting and field safety communication.</x:v>
      </x:c>
    </x:row>
    <x:row r="7">
      <x:c r="A7" s="16"/>
      <x:c r="B7" s="1"/>
      <x:c r="C7" s="3"/>
      <x:c r="D7" s="3"/>
      <x:c r="E7" s="16"/>
      <x:c r="F7" s="3"/>
      <x:c r="G7" s="16"/>
      <x:c r="H7" s="3"/>
      <x:c r="I7" s="17"/>
      <x:c r="J7" s="17"/>
      <x:c r="K7" s="3"/>
    </x:row>
    <x:row r="8">
      <x:c r="A8" s="16"/>
      <x:c r="B8" s="1"/>
      <x:c r="C8" s="3"/>
      <x:c r="D8" s="3"/>
      <x:c r="E8" s="16"/>
      <x:c r="F8" s="3"/>
      <x:c r="G8" s="16"/>
      <x:c r="H8" s="3"/>
      <x:c r="I8" s="17"/>
      <x:c r="J8" s="17"/>
      <x:c r="K8" s="3"/>
    </x:row>
    <x:row r="9">
      <x:c r="A9" s="16"/>
      <x:c r="B9" s="1"/>
      <x:c r="C9" s="3"/>
      <x:c r="D9" s="3"/>
      <x:c r="E9" s="16"/>
      <x:c r="F9" s="3"/>
      <x:c r="G9" s="16"/>
      <x:c r="H9" s="3"/>
      <x:c r="I9" s="17"/>
      <x:c r="J9" s="17"/>
      <x:c r="K9" s="3"/>
    </x:row>
    <x:row r="10">
      <x:c r="A10" s="16"/>
      <x:c r="B10" s="1"/>
      <x:c r="C10" s="3"/>
      <x:c r="D10" s="3"/>
      <x:c r="E10" s="16"/>
      <x:c r="F10" s="3"/>
      <x:c r="G10" s="16"/>
      <x:c r="H10" s="3"/>
      <x:c r="I10" s="17"/>
      <x:c r="J10" s="17"/>
      <x:c r="K10" s="3"/>
    </x:row>
    <x:row r="11">
      <x:c r="A11" s="16"/>
      <x:c r="B11" s="1"/>
      <x:c r="C11" s="3"/>
      <x:c r="D11" s="3"/>
      <x:c r="E11" s="16"/>
      <x:c r="F11" s="3"/>
      <x:c r="G11" s="16"/>
      <x:c r="H11" s="3"/>
      <x:c r="I11" s="17"/>
      <x:c r="J11" s="17"/>
      <x:c r="K11" s="3"/>
    </x:row>
    <x:row r="12">
      <x:c r="A12" s="16"/>
      <x:c r="B12" s="1"/>
      <x:c r="C12" s="3"/>
      <x:c r="D12" s="3"/>
      <x:c r="E12" s="16"/>
      <x:c r="F12" s="3"/>
      <x:c r="G12" s="16"/>
      <x:c r="H12" s="3"/>
      <x:c r="I12" s="17"/>
      <x:c r="J12" s="17"/>
      <x:c r="K12" s="3"/>
    </x:row>
    <x:row r="13">
      <x:c r="A13" s="16"/>
      <x:c r="B13" s="1"/>
      <x:c r="C13" s="3"/>
      <x:c r="D13" s="3"/>
      <x:c r="E13" s="16"/>
      <x:c r="F13" s="3"/>
      <x:c r="G13" s="16"/>
      <x:c r="H13" s="3"/>
      <x:c r="I13" s="17"/>
      <x:c r="J13" s="17"/>
      <x:c r="K13" s="3"/>
    </x:row>
    <x:row r="14">
      <x:c r="A14" s="16"/>
      <x:c r="B14" s="1"/>
      <x:c r="C14" s="3"/>
      <x:c r="D14" s="3"/>
      <x:c r="E14" s="16"/>
      <x:c r="F14" s="3"/>
      <x:c r="G14" s="16"/>
      <x:c r="H14" s="3"/>
      <x:c r="I14" s="17"/>
      <x:c r="J14" s="17"/>
      <x:c r="K14" s="3"/>
    </x:row>
    <x:row r="15">
      <x:c r="A15" s="16"/>
      <x:c r="B15" s="1"/>
      <x:c r="C15" s="3"/>
      <x:c r="D15" s="3"/>
      <x:c r="E15" s="16"/>
      <x:c r="F15" s="3"/>
      <x:c r="G15" s="16"/>
      <x:c r="H15" s="3"/>
      <x:c r="I15" s="17"/>
      <x:c r="J15" s="17"/>
      <x:c r="K15" s="3"/>
    </x:row>
    <x:row r="16">
      <x:c r="A16" s="16"/>
      <x:c r="B16" s="1"/>
      <x:c r="C16" s="3"/>
      <x:c r="D16" s="3"/>
      <x:c r="E16" s="16"/>
      <x:c r="F16" s="3"/>
      <x:c r="G16" s="16"/>
      <x:c r="H16" s="3"/>
      <x:c r="I16" s="17"/>
      <x:c r="J16" s="17"/>
      <x:c r="K16" s="3"/>
    </x:row>
    <x:row r="17">
      <x:c r="A17" s="16"/>
      <x:c r="B17" s="1"/>
      <x:c r="C17" s="3"/>
      <x:c r="D17" s="3"/>
      <x:c r="E17" s="16"/>
      <x:c r="F17" s="3"/>
      <x:c r="G17" s="16"/>
      <x:c r="H17" s="3"/>
      <x:c r="I17" s="17"/>
      <x:c r="J17" s="17"/>
      <x:c r="K17" s="3"/>
    </x:row>
    <x:row r="18">
      <x:c r="A18" s="16"/>
      <x:c r="B18" s="1"/>
      <x:c r="C18" s="3"/>
      <x:c r="D18" s="3"/>
      <x:c r="E18" s="16"/>
      <x:c r="F18" s="3"/>
      <x:c r="G18" s="16"/>
      <x:c r="H18" s="3"/>
      <x:c r="I18" s="17"/>
      <x:c r="J18" s="17"/>
      <x:c r="K18" s="3"/>
    </x:row>
    <x:row r="19">
      <x:c r="A19" s="16"/>
      <x:c r="B19" s="1"/>
      <x:c r="C19" s="3"/>
      <x:c r="D19" s="3"/>
      <x:c r="E19" s="16"/>
      <x:c r="F19" s="3"/>
      <x:c r="G19" s="16"/>
      <x:c r="H19" s="3"/>
      <x:c r="I19" s="17"/>
      <x:c r="J19" s="17"/>
      <x:c r="K19" s="3"/>
    </x:row>
    <x:row r="20">
      <x:c r="A20" s="16"/>
      <x:c r="B20" s="1"/>
      <x:c r="C20" s="3"/>
      <x:c r="D20" s="3"/>
      <x:c r="E20" s="16"/>
      <x:c r="F20" s="3"/>
      <x:c r="G20" s="16"/>
      <x:c r="H20" s="3"/>
      <x:c r="I20" s="17"/>
      <x:c r="J20" s="17"/>
      <x:c r="K20" s="3"/>
    </x:row>
    <x:row r="21">
      <x:c r="A21" s="16"/>
      <x:c r="B21" s="1"/>
      <x:c r="C21" s="3"/>
      <x:c r="D21" s="3"/>
      <x:c r="E21" s="16"/>
      <x:c r="F21" s="3"/>
      <x:c r="G21" s="16"/>
      <x:c r="H21" s="3"/>
      <x:c r="I21" s="17"/>
      <x:c r="J21" s="17"/>
      <x:c r="K21" s="3"/>
    </x:row>
  </x:sheetData>
  <x:pageMargins left="0.7" right="0.7" top="0.75" bottom="0.75" header="0.3" footer="0.3"/>
</x:worksheet>
</file>